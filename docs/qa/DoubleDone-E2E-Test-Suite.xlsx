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count.</t>
        </is>
      </c>
      <c r="F51" s="9" t="inlineStr">
        <is>
          <t>The health line's count matches the expected slots (all active Rhythms + checklist nudges + the daily reminder) and the next time is right.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the return itself triggers the re-schedule), and reopening the app re-schedules everything quietly anyway (the resilience sweep), so the count never decays after an update, reboot, or an OEM battery wipe, and the sweep NEVER shows a permission prompt. Zero-count while Rhythms exist is a red flag the line itself surfaces.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PAGE (caption in the pixels, never a link)</t>
        </is>
      </c>
      <c r="E9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BIG-05</t>
        </is>
      </c>
      <c r="B200" s="7" t="inlineStr">
        <is>
          <t>Big task</t>
        </is>
      </c>
      <c r="C200" s="10" t="inlineStr">
        <is>
          <t>P2</t>
        </is>
      </c>
      <c r="D200" s="9" t="inlineStr">
        <is>
          <t>Big syncs across devices (and old marks survive the upgrade)</t>
        </is>
      </c>
      <c r="E200" s="9" t="inlineStr">
        <is>
          <t>Signed in on two devices (e.g. web + Android). Mark a task big on device 1, wait for or trigger a sync, then open device 2. Then unmark it on device 2 and check device 1. Prerequisite: an account with the same task on both.</t>
        </is>
      </c>
      <c r="F20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0" s="7" t="inlineStr">
        <is>
          <t>Both</t>
        </is>
      </c>
      <c r="H200" s="7" t="inlineStr"/>
      <c r="I200" s="9" t="inlineStr"/>
      <c r="J200" s="7" t="inlineStr"/>
    </row>
    <row r="201">
      <c r="A201" s="6" t="inlineStr">
        <is>
          <t>NAV-01</t>
        </is>
      </c>
      <c r="B201" s="7" t="inlineStr">
        <is>
          <t>Rooms</t>
        </is>
      </c>
      <c r="C201" s="11" t="inlineStr">
        <is>
          <t>P3</t>
        </is>
      </c>
      <c r="D201" s="9" t="inlineStr">
        <is>
          <t>Rooms sheet caps its width on wide web</t>
        </is>
      </c>
      <c r="E201" s="9" t="inlineStr">
        <is>
          <t>On a wide desktop browser, open Rooms (the header pill).</t>
        </is>
      </c>
      <c r="F20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1" s="7" t="inlineStr">
        <is>
          <t>Web</t>
        </is>
      </c>
      <c r="H201" s="7" t="inlineStr"/>
      <c r="I201" s="9" t="inlineStr"/>
      <c r="J201" s="7" t="inlineStr"/>
    </row>
  </sheetData>
  <autoFilter ref="A1:J201"/>
  <conditionalFormatting sqref="H2:H20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200</t>
        </is>
      </c>
    </row>
    <row r="3">
      <c r="A3" s="14" t="inlineStr">
        <is>
          <t>Pass</t>
        </is>
      </c>
      <c r="B3">
        <f>COUNTIF('Test Suite'!$H$2:$H$201,"Pass")</f>
        <v/>
      </c>
    </row>
    <row r="4">
      <c r="A4" s="14" t="inlineStr">
        <is>
          <t>Fail</t>
        </is>
      </c>
      <c r="B4">
        <f>COUNTIF('Test Suite'!$H$2:$H$201,"Fail")</f>
        <v/>
      </c>
    </row>
    <row r="5">
      <c r="A5" s="14" t="inlineStr">
        <is>
          <t>Blocked</t>
        </is>
      </c>
      <c r="B5">
        <f>COUNTIF('Test Suite'!$H$2:$H$201,"Blocked")</f>
        <v/>
      </c>
    </row>
    <row r="6">
      <c r="A6" s="14" t="inlineStr">
        <is>
          <t>Not run</t>
        </is>
      </c>
      <c r="B6">
        <f>COUNTIF('Test Suite'!$H$2:$H$201,"Not run")</f>
        <v/>
      </c>
    </row>
    <row r="7">
      <c r="A7" s="14" t="inlineStr">
        <is>
          <t>Unmarked</t>
        </is>
      </c>
      <c r="B7">
        <f>200-COUNTA('Test Suite'!$H$2:$H$201)</f>
        <v/>
      </c>
    </row>
    <row r="9">
      <c r="A9" s="13" t="inlineStr">
        <is>
          <t>P1 cases</t>
        </is>
      </c>
      <c r="B9">
        <f>COUNTIF('Test Suite'!$C$2:$C$201,"P1")</f>
        <v/>
      </c>
    </row>
    <row r="10">
      <c r="A10" s="14" t="inlineStr">
        <is>
          <t>P1 passed</t>
        </is>
      </c>
      <c r="B10">
        <f>COUNTIFS('Test Suite'!$C$2:$C$201,"P1",'Test Suite'!$H$2:$H$201,"Pass")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2026-07-12T04:57:21Z</dcterms:created>
  <dcterms:modified xmlns:dcterms="http://purl.org/dc/terms/" xmlns:xsi="http://www.w3.org/2001/XMLSchema-instance" xsi:type="dcterms:W3CDTF">2026-07-12T04:57:21Z</dcterms:modified>
</cp:coreProperties>
</file>